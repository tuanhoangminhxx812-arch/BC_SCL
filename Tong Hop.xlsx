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4. Công nghệ AI\Các báo cáo\SCL\"/>
    </mc:Choice>
  </mc:AlternateContent>
  <xr:revisionPtr revIDLastSave="0" documentId="13_ncr:1_{8979B0D0-F6FD-4BDE-AB98-75FB369C7EBB}" xr6:coauthVersionLast="47" xr6:coauthVersionMax="47" xr10:uidLastSave="{00000000-0000-0000-0000-000000000000}"/>
  <bookViews>
    <workbookView xWindow="-108" yWindow="-108" windowWidth="30936" windowHeight="16776" xr2:uid="{EA8CD95B-BEDE-4E99-A9CD-4372C7F6D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K9" i="1"/>
  <c r="H9" i="1"/>
</calcChain>
</file>

<file path=xl/sharedStrings.xml><?xml version="1.0" encoding="utf-8"?>
<sst xmlns="http://schemas.openxmlformats.org/spreadsheetml/2006/main" count="51" uniqueCount="40">
  <si>
    <t>STT</t>
  </si>
  <si>
    <t>Mã công trình</t>
  </si>
  <si>
    <t>Tên công trình</t>
  </si>
  <si>
    <t>Năm</t>
  </si>
  <si>
    <t>Giá trị khái toán</t>
  </si>
  <si>
    <t>Tên hạng mục</t>
  </si>
  <si>
    <t>Trạng thái</t>
  </si>
  <si>
    <t>VTAD2605001</t>
  </si>
  <si>
    <t>Sửa chữa lớn đường dây trung, hạ thế và trạm biến áp năm 2026</t>
  </si>
  <si>
    <t>Đại tu lưới trung hạ thế, trạm hạ thế</t>
  </si>
  <si>
    <t>Đang thi công</t>
  </si>
  <si>
    <t>VTAD2606001</t>
  </si>
  <si>
    <t>Sửa chữa lớn TSCĐ hệ thống đo đếm trên địa bàn Công ty Điện lực Vũng Tàu năm 2026 - Phần bảo trì TU, TI</t>
  </si>
  <si>
    <t>Đại tu thiết bị trung hạ thế (máy phát, MBT, Re,...)</t>
  </si>
  <si>
    <t>VTAD2606002</t>
  </si>
  <si>
    <t>Sửa chữa lớn TSCĐ thay thế LBFCO, FCO, LA... ngăn ngừa sự cố năm 2026</t>
  </si>
  <si>
    <t>VTAD2607001</t>
  </si>
  <si>
    <t>Sửa chữa nhà đặt máy phát điện, nhà máy An Hội, Đặc khu Côn Đảo</t>
  </si>
  <si>
    <t>Đại tu công trình xây dựng dân dụng</t>
  </si>
  <si>
    <t>Lập PAKT-Tổng dự toán</t>
  </si>
  <si>
    <t>VTAD2608001</t>
  </si>
  <si>
    <t>Sửa chữa lớn công xa Công ty Điện lực Vũng Tàu năm 2026</t>
  </si>
  <si>
    <t>Đại tu công xa</t>
  </si>
  <si>
    <t>Lập kế hoạch đấu thầu</t>
  </si>
  <si>
    <t>VTAD2610001</t>
  </si>
  <si>
    <t>Sửa chữa lớn máy phát điện Cummins G1, G2 nhà máy điện An hội năm 2026</t>
  </si>
  <si>
    <t>Đại tu TSCĐ khác</t>
  </si>
  <si>
    <t>VTAD2610002</t>
  </si>
  <si>
    <t>Sửa chữa lớn hệ thống điện bằng biện pháp Live-Line năm 2026</t>
  </si>
  <si>
    <t>Tổng giá trị</t>
  </si>
  <si>
    <t>Giá trị thực hiện</t>
  </si>
  <si>
    <t>Giá trị quyết toán</t>
  </si>
  <si>
    <t>Số QĐ phê duyệt danh mục</t>
  </si>
  <si>
    <t xml:space="preserve">Nội dung chính sữa chữa </t>
  </si>
  <si>
    <t>309/QĐ-PCVT</t>
  </si>
  <si>
    <t>Sửa chữa lớn TSCĐ thay thế LBFCO, FCO, LA… ngăn ngừa sự cố năm 2026</t>
  </si>
  <si>
    <t>Cung cấp vật tư phụ tùng thi công, sửa chữa các và mua bảo hiểm công trình</t>
  </si>
  <si>
    <t>Tiến độ thực hiện theo kế hoạch</t>
  </si>
  <si>
    <t>06/2026</t>
  </si>
  <si>
    <t>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</si>
</sst>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1"/>
      <color indexed="8"/>
      <name val="Calibri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horizontal="right" vertical="center" wrapText="1" readingOrder="1"/>
    </xf>
    <xf numFmtId="0" fontId="3" fillId="0" borderId="3" xfId="0" applyFont="1" applyFill="1" applyBorder="1" applyAlignment="1">
      <alignment vertical="center" wrapText="1" readingOrder="1"/>
    </xf>
    <xf numFmtId="0" fontId="3" fillId="0" borderId="4" xfId="0" applyFont="1" applyFill="1" applyBorder="1" applyAlignment="1">
      <alignment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169" fontId="2" fillId="0" borderId="1" xfId="1" applyNumberFormat="1" applyFont="1" applyBorder="1" applyAlignment="1">
      <alignment horizontal="right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169" fontId="3" fillId="0" borderId="7" xfId="1" applyNumberFormat="1" applyFont="1" applyBorder="1" applyAlignment="1">
      <alignment horizontal="right" vertical="center" wrapText="1" readingOrder="1"/>
    </xf>
    <xf numFmtId="0" fontId="6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1" xfId="2" applyFont="1" applyFill="1" applyBorder="1" applyAlignment="1">
      <alignment horizontal="left" vertical="center" wrapText="1"/>
    </xf>
    <xf numFmtId="0" fontId="6" fillId="0" borderId="7" xfId="2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B97F5D6E-B855-4D88-90B4-782ED1FF905E}"/>
  </cellStyles>
  <dxfs count="17">
    <dxf>
      <alignment vertical="center" textRotation="0" indent="0" justifyLastLine="0" shrinkToFit="0"/>
    </dxf>
    <dxf>
      <alignment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1F1F1F"/>
        <name val="Arial"/>
        <family val="2"/>
      </font>
      <numFmt numFmtId="169" formatCode="_-* #,##0_-;\-* #,##0_-;_-* &quot;-&quot;??_-;_-@_-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1F1F1F"/>
        <name val="Arial"/>
        <family val="2"/>
      </font>
      <numFmt numFmtId="169" formatCode="_-* #,##0_-;\-* #,##0_-;_-* &quot;-&quot;??_-;_-@_-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169" formatCode="_-* #,##0_-;\-* #,##0_-;_-* &quot;-&quot;??_-;_-@_-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B6DDC-BA93-481E-BD2B-9DF8058E8584}" name="Table1" displayName="Table1" ref="A1:L9" totalsRowShown="0" headerRowDxfId="1" dataDxfId="0" headerRowBorderDxfId="15" tableBorderDxfId="16" totalsRowBorderDxfId="14">
  <autoFilter ref="A1:L9" xr:uid="{F1AB6DDC-BA93-481E-BD2B-9DF8058E8584}"/>
  <tableColumns count="12">
    <tableColumn id="1" xr3:uid="{DAC04565-69BC-4CDF-9E0A-EC1119831221}" name="STT" dataDxfId="13"/>
    <tableColumn id="2" xr3:uid="{D6161F9A-87AA-431B-80BE-36A93E2AFC54}" name="Mã công trình" dataDxfId="12"/>
    <tableColumn id="3" xr3:uid="{B6921986-DEFB-4044-8199-A3891359D0D8}" name="Tên công trình" dataDxfId="11"/>
    <tableColumn id="10" xr3:uid="{1BF7E3F8-25B1-4DF4-B523-310B52CF464E}" name="Số QĐ phê duyệt danh mục" dataDxfId="10" dataCellStyle="Normal 2"/>
    <tableColumn id="11" xr3:uid="{3AE98590-A534-40D4-A68D-3A7A411590AD}" name="Nội dung chính sữa chữa " dataDxfId="9" dataCellStyle="Normal 2"/>
    <tableColumn id="12" xr3:uid="{465F0A31-3F91-4822-BA14-948A18D11083}" name="Tiến độ thực hiện theo kế hoạch" dataDxfId="8" dataCellStyle="Normal 2"/>
    <tableColumn id="4" xr3:uid="{CA856511-17A6-4630-B6ED-3630EBCB18AF}" name="Năm" dataDxfId="7"/>
    <tableColumn id="5" xr3:uid="{8E900E18-E817-403C-991D-0FB1E7E5763A}" name="Giá trị khái toán" dataDxfId="6" dataCellStyle="Comma"/>
    <tableColumn id="6" xr3:uid="{F1B544CF-5D4E-4E6C-834E-112E2E2B9814}" name="Tên hạng mục" dataDxfId="5"/>
    <tableColumn id="7" xr3:uid="{AEFAD23C-45D2-400E-AB7E-19B2CD7F4803}" name="Trạng thái" dataDxfId="4"/>
    <tableColumn id="8" xr3:uid="{2675D14E-65F9-45FF-90BF-967C376D3844}" name="Giá trị thực hiện" dataDxfId="3" dataCellStyle="Comma"/>
    <tableColumn id="9" xr3:uid="{695670EC-1745-48D9-9A74-4408C2464719}" name="Giá trị quyết toán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92FB-9617-4ECC-974D-88D4E382CA3F}">
  <dimension ref="A1:L9"/>
  <sheetViews>
    <sheetView tabSelected="1" workbookViewId="0">
      <selection activeCell="E5" sqref="E5"/>
    </sheetView>
  </sheetViews>
  <sheetFormatPr defaultRowHeight="15.6" x14ac:dyDescent="0.3"/>
  <cols>
    <col min="1" max="1" width="6.5" style="16" customWidth="1"/>
    <col min="2" max="2" width="15.796875" style="15" customWidth="1"/>
    <col min="3" max="3" width="29.69921875" style="15" customWidth="1"/>
    <col min="4" max="4" width="15.796875" style="15" customWidth="1"/>
    <col min="5" max="5" width="28.3984375" style="17" customWidth="1"/>
    <col min="6" max="6" width="14.59765625" style="15" customWidth="1"/>
    <col min="7" max="7" width="7.09765625" style="15" bestFit="1" customWidth="1"/>
    <col min="8" max="8" width="18" style="15" customWidth="1"/>
    <col min="9" max="9" width="19.09765625" style="15" customWidth="1"/>
    <col min="10" max="11" width="18.3984375" style="15" bestFit="1" customWidth="1"/>
    <col min="12" max="12" width="16.09765625" style="15" customWidth="1"/>
    <col min="13" max="16384" width="8.796875" style="15"/>
  </cols>
  <sheetData>
    <row r="1" spans="1:12" ht="15.6" customHeight="1" x14ac:dyDescent="0.3">
      <c r="A1" s="1" t="s">
        <v>0</v>
      </c>
      <c r="B1" s="2" t="s">
        <v>1</v>
      </c>
      <c r="C1" s="2" t="s">
        <v>2</v>
      </c>
      <c r="D1" s="14" t="s">
        <v>32</v>
      </c>
      <c r="E1" s="14" t="s">
        <v>33</v>
      </c>
      <c r="F1" s="14" t="s">
        <v>37</v>
      </c>
      <c r="G1" s="2" t="s">
        <v>3</v>
      </c>
      <c r="H1" s="3" t="s">
        <v>4</v>
      </c>
      <c r="I1" s="2" t="s">
        <v>5</v>
      </c>
      <c r="J1" s="2" t="s">
        <v>6</v>
      </c>
      <c r="K1" s="4" t="s">
        <v>30</v>
      </c>
      <c r="L1" s="5" t="s">
        <v>31</v>
      </c>
    </row>
    <row r="2" spans="1:12" ht="30" x14ac:dyDescent="0.3">
      <c r="A2" s="6">
        <v>1</v>
      </c>
      <c r="B2" s="7" t="s">
        <v>7</v>
      </c>
      <c r="C2" s="7" t="s">
        <v>8</v>
      </c>
      <c r="D2" s="14"/>
      <c r="E2" s="14"/>
      <c r="F2" s="14"/>
      <c r="G2" s="7">
        <v>2026</v>
      </c>
      <c r="H2" s="8">
        <v>12552889759</v>
      </c>
      <c r="I2" s="7" t="s">
        <v>9</v>
      </c>
      <c r="J2" s="7" t="s">
        <v>10</v>
      </c>
      <c r="K2" s="8"/>
      <c r="L2" s="8"/>
    </row>
    <row r="3" spans="1:12" ht="60" x14ac:dyDescent="0.3">
      <c r="A3" s="6">
        <v>2</v>
      </c>
      <c r="B3" s="7" t="s">
        <v>11</v>
      </c>
      <c r="C3" s="7" t="s">
        <v>12</v>
      </c>
      <c r="D3" s="13" t="s">
        <v>34</v>
      </c>
      <c r="E3" s="13"/>
      <c r="F3" s="13"/>
      <c r="G3" s="7">
        <v>2026</v>
      </c>
      <c r="H3" s="8">
        <v>13650367159</v>
      </c>
      <c r="I3" s="7" t="s">
        <v>13</v>
      </c>
      <c r="J3" s="7" t="s">
        <v>10</v>
      </c>
      <c r="K3" s="8">
        <v>1347233815</v>
      </c>
      <c r="L3" s="8"/>
    </row>
    <row r="4" spans="1:12" ht="46.8" x14ac:dyDescent="0.3">
      <c r="A4" s="6">
        <v>3</v>
      </c>
      <c r="B4" s="7" t="s">
        <v>14</v>
      </c>
      <c r="C4" s="7" t="s">
        <v>15</v>
      </c>
      <c r="D4" s="13" t="s">
        <v>34</v>
      </c>
      <c r="E4" s="13" t="s">
        <v>35</v>
      </c>
      <c r="F4" s="13" t="s">
        <v>38</v>
      </c>
      <c r="G4" s="7">
        <v>2026</v>
      </c>
      <c r="H4" s="8">
        <v>3765771568</v>
      </c>
      <c r="I4" s="7" t="s">
        <v>13</v>
      </c>
      <c r="J4" s="7" t="s">
        <v>10</v>
      </c>
      <c r="K4" s="8"/>
      <c r="L4" s="8"/>
    </row>
    <row r="5" spans="1:12" ht="45" x14ac:dyDescent="0.3">
      <c r="A5" s="6">
        <v>4</v>
      </c>
      <c r="B5" s="7" t="s">
        <v>16</v>
      </c>
      <c r="C5" s="7" t="s">
        <v>17</v>
      </c>
      <c r="D5" s="13"/>
      <c r="E5" s="18"/>
      <c r="F5" s="18"/>
      <c r="G5" s="7">
        <v>2026</v>
      </c>
      <c r="H5" s="8">
        <v>1590994000</v>
      </c>
      <c r="I5" s="7" t="s">
        <v>18</v>
      </c>
      <c r="J5" s="7" t="s">
        <v>19</v>
      </c>
      <c r="K5" s="8"/>
      <c r="L5" s="8"/>
    </row>
    <row r="6" spans="1:12" ht="30" x14ac:dyDescent="0.3">
      <c r="A6" s="6">
        <v>5</v>
      </c>
      <c r="B6" s="7" t="s">
        <v>20</v>
      </c>
      <c r="C6" s="7" t="s">
        <v>21</v>
      </c>
      <c r="D6" s="13" t="s">
        <v>34</v>
      </c>
      <c r="E6" s="13"/>
      <c r="F6" s="13"/>
      <c r="G6" s="7">
        <v>2026</v>
      </c>
      <c r="H6" s="8">
        <v>526699800</v>
      </c>
      <c r="I6" s="7" t="s">
        <v>22</v>
      </c>
      <c r="J6" s="7" t="s">
        <v>23</v>
      </c>
      <c r="K6" s="8"/>
      <c r="L6" s="8"/>
    </row>
    <row r="7" spans="1:12" ht="46.8" x14ac:dyDescent="0.3">
      <c r="A7" s="6">
        <v>6</v>
      </c>
      <c r="B7" s="7" t="s">
        <v>24</v>
      </c>
      <c r="C7" s="7" t="s">
        <v>25</v>
      </c>
      <c r="D7" s="13" t="s">
        <v>34</v>
      </c>
      <c r="E7" s="13" t="s">
        <v>36</v>
      </c>
      <c r="F7" s="13" t="s">
        <v>38</v>
      </c>
      <c r="G7" s="7">
        <v>2026</v>
      </c>
      <c r="H7" s="8">
        <v>13236612376</v>
      </c>
      <c r="I7" s="7" t="s">
        <v>26</v>
      </c>
      <c r="J7" s="7" t="s">
        <v>23</v>
      </c>
      <c r="K7" s="8"/>
      <c r="L7" s="8"/>
    </row>
    <row r="8" spans="1:12" ht="45" x14ac:dyDescent="0.3">
      <c r="A8" s="6">
        <v>7</v>
      </c>
      <c r="B8" s="7" t="s">
        <v>27</v>
      </c>
      <c r="C8" s="7" t="s">
        <v>28</v>
      </c>
      <c r="D8" s="13"/>
      <c r="E8" s="18" t="s">
        <v>28</v>
      </c>
      <c r="F8" s="18" t="s">
        <v>39</v>
      </c>
      <c r="G8" s="7">
        <v>2026</v>
      </c>
      <c r="H8" s="8">
        <v>5780025934</v>
      </c>
      <c r="I8" s="7" t="s">
        <v>26</v>
      </c>
      <c r="J8" s="7" t="s">
        <v>10</v>
      </c>
      <c r="K8" s="8"/>
      <c r="L8" s="8"/>
    </row>
    <row r="9" spans="1:12" x14ac:dyDescent="0.3">
      <c r="A9" s="9"/>
      <c r="B9" s="10"/>
      <c r="C9" s="11" t="s">
        <v>29</v>
      </c>
      <c r="D9" s="13"/>
      <c r="E9" s="19"/>
      <c r="F9" s="19"/>
      <c r="G9" s="10"/>
      <c r="H9" s="12">
        <f>SUM(H2:H8)</f>
        <v>51103360596</v>
      </c>
      <c r="I9" s="10"/>
      <c r="J9" s="10"/>
      <c r="K9" s="12">
        <f t="shared" ref="K9:L9" si="0">SUM(K2:K8)</f>
        <v>1347233815</v>
      </c>
      <c r="L9" s="12">
        <f t="shared" si="0"/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2026-04-15T01:37:27Z</dcterms:created>
  <dcterms:modified xsi:type="dcterms:W3CDTF">2026-04-15T01:53:26Z</dcterms:modified>
</cp:coreProperties>
</file>